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tal\OneDrive\Escritorio\Uni\Semestre 5\Proyecto Integrador\20252-g1-pi1-chispitas-parte-2\docs\Learning Formats\"/>
    </mc:Choice>
  </mc:AlternateContent>
  <xr:revisionPtr revIDLastSave="0" documentId="13_ncr:1_{5DD0C34B-7D3F-486E-9E38-B2D23D45C6D4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<sst xmlns="http://schemas.openxmlformats.org/spreadsheetml/2006/main" count="140" uniqueCount="81">
  <si>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</si>
  <si>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</si>
  <si>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</si>
  <si>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</si>
  <si>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</si>
  <si>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</si>
  <si>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</si>
  <si>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</si>
  <si>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</si>
  <si>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</si>
  <si>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</si>
  <si>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</si>
  <si>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</si>
  <si>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</si>
  <si>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</si>
  <si>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</si>
  <si>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</si>
  <si>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</si>
  <si>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</si>
  <si>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</si>
  <si>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</si>
  <si>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</si>
  <si>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</si>
  <si>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</si>
  <si>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</si>
  <si>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</si>
  <si>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</si>
  <si>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</si>
  <si>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</si>
  <si>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</si>
  <si>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</si>
  <si>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</si>
  <si>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</si>
  <si>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</si>
  <si>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</si>
  <si>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</si>
  <si>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</si>
  <si>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</si>
  <si>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</si>
  <si>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</si>
  <si>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</si>
  <si>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</si>
  <si>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</si>
  <si>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</si>
  <si>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</si>
  <si>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</si>
  <si>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</si>
  <si>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</si>
  <si>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</si>
  <si>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</si>
  <si>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</si>
  <si>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</si>
  <si>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</si>
  <si>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</si>
  <si>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</si>
  <si>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</si>
  <si>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</si>
  <si>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</si>
  <si>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</si>
  <si>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</si>
  <si>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</si>
  <si>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</si>
  <si>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</si>
  <si>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</si>
  <si>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</si>
  <si>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</si>
  <si>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</si>
  <si>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</si>
  <si>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Practicar mis habilidades de comunicación verbal y no verbal con un pequeño grupo de personas cercanas a mí</t>
  </si>
  <si>
    <t xml:space="preserve">La aplicación de recordatorios y el reloj de mi celular </t>
  </si>
  <si>
    <t>Total general</t>
  </si>
  <si>
    <t>El chat grupal de whatsapp y conversaciones que tengo con mis compañeros de grupo cara a cara acerca de avances y cómo ayudarnos</t>
  </si>
  <si>
    <t>Desenvolverme con mayor facilidad frente a un público</t>
  </si>
  <si>
    <t>Me apoyo con otras personas que me pueden servir de jurado y ofrecer retroalimentación, además he utilizado otras presentaciones como forma de aprendizaje y para mejorar mi confianza</t>
  </si>
  <si>
    <t>He mejorado mi manejo del lenguaje corporal y trato de acompañar mis explicaciones con gestos o manerismos que refuercen el mensaje. Me siento más segura al presentar durante los sprints y he ganado confianza al hablar frente a los demás</t>
  </si>
  <si>
    <t>Administrar mejor mi tiempo para no dejar tareas para última hora y cumplir mis responsabilidades con antelación</t>
  </si>
  <si>
    <t>Usar recordatorios, notas y temporizadores para organizar mis actividades y cumplir con los tiempos establecidos</t>
  </si>
  <si>
    <t>He logrado distribuir mejor mi tiempo, lo que me ha permitido apoyar a mis compañeros en sus tareas y atender sus dudas sin descuidar mis propias actividades</t>
  </si>
  <si>
    <t>Comunicarme de forma más asertiva con mis compañeros, manteniéndome al tanto de sus avances para ofrecer apoyo cuando sea necesario</t>
  </si>
  <si>
    <t>Participar activamente en los canales de comunicación del equipo y no evitar las conversaciones espontáneas durante el trabajo</t>
  </si>
  <si>
    <t>Mejoré mi comunicación con el equipo, informando sobre los cambios que realizaba y manteniendo una comunicación constante. Gracias a esto pude estar al tanto de las tareas del grupo y colaborar de manera más efectiva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</si>
</sst>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2" fillId="0" borderId="0" xfId="0" applyFont="1"/>
    <xf numFmtId="0" fontId="20" fillId="0" borderId="0" xfId="0" applyFont="1"/>
    <xf numFmtId="0" fontId="9" fillId="0" borderId="0" xfId="0" applyFont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horizontal="left" wrapText="1"/>
    </xf>
    <xf numFmtId="0" fontId="0" fillId="0" borderId="14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7" borderId="14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15" fontId="0" fillId="0" borderId="14" xfId="0" applyNumberFormat="1" applyBorder="1" applyAlignment="1">
      <alignment horizontal="left" vertical="center"/>
    </xf>
    <xf numFmtId="14" fontId="0" fillId="0" borderId="14" xfId="0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5</c:v>
                </c:pt>
                <c:pt idx="5">
                  <c:v>4.5</c:v>
                </c:pt>
                <c:pt idx="6">
                  <c:v>4</c:v>
                </c:pt>
                <c:pt idx="7">
                  <c:v>4.5</c:v>
                </c:pt>
                <c:pt idx="8">
                  <c:v>4.5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4.5</c:v>
                </c:pt>
                <c:pt idx="1">
                  <c:v>4.2</c:v>
                </c:pt>
                <c:pt idx="2">
                  <c:v>4.5</c:v>
                </c:pt>
                <c:pt idx="3">
                  <c:v>3</c:v>
                </c:pt>
                <c:pt idx="4">
                  <c:v>4</c:v>
                </c:pt>
                <c:pt idx="5">
                  <c:v>4.7</c:v>
                </c:pt>
                <c:pt idx="6">
                  <c:v>4.7</c:v>
                </c:pt>
                <c:pt idx="7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4.5</c:v>
                </c:pt>
                <c:pt idx="1">
                  <c:v>4.3</c:v>
                </c:pt>
                <c:pt idx="2">
                  <c:v>4.3</c:v>
                </c:pt>
                <c:pt idx="3">
                  <c:v>4</c:v>
                </c:pt>
                <c:pt idx="4">
                  <c:v>4.3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23"/>
        <item x="25"/>
        <item x="4"/>
        <item x="27"/>
        <item x="12"/>
        <item x="26"/>
        <item x="19"/>
        <item x="17"/>
        <item x="18"/>
        <item x="13"/>
        <item x="20"/>
        <item x="21"/>
        <item x="5"/>
        <item x="24"/>
        <item x="22"/>
        <item x="28"/>
        <item x="16"/>
        <item x="15"/>
        <item x="6"/>
        <item x="8"/>
        <item x="14"/>
        <item x="11"/>
        <item x="0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2"/>
    </i>
    <i r="1">
      <x v="14"/>
    </i>
    <i r="1">
      <x v="17"/>
    </i>
    <i r="1">
      <x v="21"/>
    </i>
    <i r="1">
      <x v="28"/>
    </i>
    <i>
      <x v="3"/>
      <x v="6"/>
    </i>
    <i r="1">
      <x v="7"/>
    </i>
    <i r="1">
      <x v="8"/>
    </i>
    <i r="1">
      <x v="20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2" workbookViewId="0">
      <selection activeCell="B23" sqref="B23"/>
    </sheetView>
  </sheetViews>
  <sheetFormatPr baseColWidth="10" defaultColWidth="8.88671875" defaultRowHeight="14.4" x14ac:dyDescent="0.3"/>
  <cols>
    <col min="2" max="2" width="154.5546875" customWidth="1"/>
  </cols>
  <sheetData>
    <row r="1" spans="1:6" x14ac:dyDescent="0.3">
      <c r="A1" s="31"/>
      <c r="B1" s="13"/>
    </row>
    <row r="2" spans="1:6" ht="47.4" x14ac:dyDescent="0.9">
      <c r="B2" s="24" t="s">
        <v>0</v>
      </c>
      <c r="D2" s="25"/>
      <c r="E2" s="25"/>
      <c r="F2" s="25"/>
    </row>
    <row r="4" spans="1:6" ht="45.6" x14ac:dyDescent="0.3">
      <c r="B4" s="28" t="s">
        <v>1</v>
      </c>
    </row>
    <row r="5" spans="1:6" ht="15.6" x14ac:dyDescent="0.3">
      <c r="B5" s="28"/>
    </row>
    <row r="6" spans="1:6" ht="15.6" x14ac:dyDescent="0.3">
      <c r="B6" s="29" t="s">
        <v>2</v>
      </c>
    </row>
    <row r="7" spans="1:6" ht="34.200000000000003" x14ac:dyDescent="0.55000000000000004">
      <c r="B7" s="29" t="s">
        <v>3</v>
      </c>
      <c r="C7" s="26"/>
    </row>
    <row r="8" spans="1:6" ht="28.8" x14ac:dyDescent="0.55000000000000004">
      <c r="B8" s="29" t="s">
        <v>4</v>
      </c>
      <c r="C8" s="26"/>
    </row>
    <row r="9" spans="1:6" ht="28.8" x14ac:dyDescent="0.55000000000000004">
      <c r="B9" s="29" t="s">
        <v>5</v>
      </c>
      <c r="C9" s="26"/>
    </row>
    <row r="10" spans="1:6" ht="15.6" x14ac:dyDescent="0.3">
      <c r="B10" s="29" t="s">
        <v>6</v>
      </c>
    </row>
    <row r="11" spans="1:6" ht="15.6" x14ac:dyDescent="0.3">
      <c r="B11" s="27"/>
    </row>
    <row r="12" spans="1:6" ht="30.6" x14ac:dyDescent="0.3">
      <c r="B12" s="28" t="s">
        <v>7</v>
      </c>
    </row>
    <row r="13" spans="1:6" ht="15.6" x14ac:dyDescent="0.3">
      <c r="B13" s="27"/>
    </row>
    <row r="14" spans="1:6" ht="15.6" x14ac:dyDescent="0.3">
      <c r="B14" s="30"/>
    </row>
    <row r="15" spans="1:6" ht="15.6" x14ac:dyDescent="0.3">
      <c r="B15" s="30"/>
    </row>
    <row r="16" spans="1:6" ht="15.6" x14ac:dyDescent="0.3">
      <c r="B16" s="30"/>
    </row>
    <row r="17" spans="2:2" ht="15.6" x14ac:dyDescent="0.3">
      <c r="B17" s="30"/>
    </row>
    <row r="18" spans="2:2" ht="15.6" x14ac:dyDescent="0.3">
      <c r="B18" s="30"/>
    </row>
    <row r="19" spans="2:2" ht="15.6" x14ac:dyDescent="0.3">
      <c r="B19" s="27"/>
    </row>
    <row r="21" spans="2:2" x14ac:dyDescent="0.3">
      <c r="B21" s="31" t="s">
        <v>8</v>
      </c>
    </row>
    <row r="52" spans="1:2" x14ac:dyDescent="0.3">
      <c r="A52" s="31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3" zoomScale="111" workbookViewId="0">
      <selection activeCell="E52" sqref="E52"/>
    </sheetView>
  </sheetViews>
  <sheetFormatPr baseColWidth="10" defaultColWidth="8.886718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32" spans="2:17" ht="15" customHeight="1" x14ac:dyDescent="0.3">
      <c r="B32" s="9"/>
      <c r="C32" s="43" t="s">
        <v>9</v>
      </c>
      <c r="D32" s="44"/>
      <c r="E32" s="44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44"/>
      <c r="D33" s="44"/>
      <c r="E33" s="4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44"/>
      <c r="D34" s="44"/>
      <c r="E34" s="44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44"/>
      <c r="D35" s="44"/>
      <c r="E35" s="44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44"/>
      <c r="D36" s="44"/>
      <c r="E36" s="44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44"/>
      <c r="D37" s="44"/>
      <c r="E37" s="4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44"/>
      <c r="D38" s="44"/>
      <c r="E38" s="44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40" t="s">
        <v>12</v>
      </c>
      <c r="D41" s="10" t="s">
        <v>13</v>
      </c>
      <c r="E41" s="11">
        <v>4.5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41"/>
      <c r="D42" s="10" t="s">
        <v>14</v>
      </c>
      <c r="E42" s="11">
        <v>4.5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41"/>
      <c r="D43" s="10" t="s">
        <v>15</v>
      </c>
      <c r="E43" s="11">
        <v>4.5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41"/>
      <c r="D44" s="10" t="s">
        <v>16</v>
      </c>
      <c r="E44" s="11">
        <v>4.5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41"/>
      <c r="D45" s="10" t="s">
        <v>17</v>
      </c>
      <c r="E45" s="11">
        <v>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41"/>
      <c r="D46" s="10" t="s">
        <v>18</v>
      </c>
      <c r="E46" s="11">
        <v>4.5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42"/>
      <c r="D47" s="10" t="s">
        <v>19</v>
      </c>
      <c r="E47" s="11">
        <v>4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40" t="s">
        <v>20</v>
      </c>
      <c r="D48" s="12" t="s">
        <v>21</v>
      </c>
      <c r="E48" s="11">
        <v>4.5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42"/>
      <c r="D49" s="12" t="s">
        <v>22</v>
      </c>
      <c r="E49" s="11">
        <v>4.5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40" t="s">
        <v>23</v>
      </c>
      <c r="D50" s="12" t="s">
        <v>24</v>
      </c>
      <c r="E50" s="11">
        <v>4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41"/>
      <c r="D51" s="12" t="s">
        <v>25</v>
      </c>
      <c r="E51" s="11">
        <v>4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42"/>
      <c r="D52" s="12" t="s">
        <v>26</v>
      </c>
      <c r="E52" s="11">
        <v>4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topLeftCell="B33" zoomScale="136" workbookViewId="0">
      <selection activeCell="D46" sqref="D46"/>
    </sheetView>
  </sheetViews>
  <sheetFormatPr baseColWidth="10" defaultColWidth="8.88671875"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ht="15" customHeight="1" x14ac:dyDescent="0.3">
      <c r="B2" s="45" t="s">
        <v>9</v>
      </c>
      <c r="C2" s="46"/>
      <c r="D2" s="46"/>
      <c r="E2" s="36"/>
    </row>
    <row r="3" spans="2:17" x14ac:dyDescent="0.3">
      <c r="B3" s="46"/>
      <c r="C3" s="46"/>
      <c r="D3" s="46"/>
      <c r="E3" s="36"/>
    </row>
    <row r="4" spans="2:17" x14ac:dyDescent="0.3">
      <c r="B4" s="46"/>
      <c r="C4" s="46"/>
      <c r="D4" s="46"/>
      <c r="E4" s="36"/>
    </row>
    <row r="5" spans="2:17" x14ac:dyDescent="0.3">
      <c r="B5" s="46"/>
      <c r="C5" s="46"/>
      <c r="D5" s="46"/>
      <c r="E5" s="36"/>
    </row>
    <row r="6" spans="2:17" x14ac:dyDescent="0.3">
      <c r="B6" s="46"/>
      <c r="C6" s="46"/>
      <c r="D6" s="46"/>
      <c r="E6" s="36"/>
    </row>
    <row r="7" spans="2:17" x14ac:dyDescent="0.3">
      <c r="B7" s="46"/>
      <c r="C7" s="46"/>
      <c r="D7" s="46"/>
      <c r="E7" s="36"/>
    </row>
    <row r="8" spans="2:17" x14ac:dyDescent="0.3">
      <c r="B8" s="46"/>
      <c r="C8" s="46"/>
      <c r="D8" s="46"/>
      <c r="E8" s="36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4.5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4.2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4.5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4.7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4.7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4.5999999999999996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4.5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4.3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4.3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4.3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4.5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4.5999999999999996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A29" zoomScale="123" workbookViewId="0">
      <selection activeCell="E39" sqref="E39"/>
    </sheetView>
  </sheetViews>
  <sheetFormatPr baseColWidth="10" defaultColWidth="8.88671875"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ht="36.75" customHeight="1" x14ac:dyDescent="0.3">
      <c r="C2" s="47" t="s">
        <v>46</v>
      </c>
      <c r="D2" s="48"/>
    </row>
    <row r="4" spans="2:6" ht="41.4" x14ac:dyDescent="0.3">
      <c r="B4" s="15" t="s">
        <v>47</v>
      </c>
      <c r="C4" s="34" t="s">
        <v>48</v>
      </c>
      <c r="F4" s="35"/>
    </row>
    <row r="5" spans="2:6" ht="41.4" x14ac:dyDescent="0.3">
      <c r="B5" s="15" t="s">
        <v>49</v>
      </c>
      <c r="C5" s="34" t="s">
        <v>50</v>
      </c>
    </row>
    <row r="6" spans="2:6" ht="69" x14ac:dyDescent="0.3">
      <c r="B6" s="15" t="s">
        <v>51</v>
      </c>
      <c r="C6" s="34" t="s">
        <v>52</v>
      </c>
    </row>
    <row r="7" spans="2:6" x14ac:dyDescent="0.3">
      <c r="B7" s="15"/>
      <c r="C7" s="34"/>
    </row>
    <row r="8" spans="2:6" x14ac:dyDescent="0.3">
      <c r="B8" s="15"/>
      <c r="C8" s="34"/>
    </row>
    <row r="9" spans="2:6" x14ac:dyDescent="0.3">
      <c r="B9" s="15"/>
      <c r="C9" s="32"/>
      <c r="D9" s="54" t="s">
        <v>53</v>
      </c>
      <c r="E9" s="54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33" t="s">
        <v>55</v>
      </c>
      <c r="E12" s="33" t="s">
        <v>56</v>
      </c>
      <c r="F12" s="33" t="s">
        <v>51</v>
      </c>
    </row>
    <row r="13" spans="2:6" x14ac:dyDescent="0.3">
      <c r="B13" s="55" t="s">
        <v>12</v>
      </c>
      <c r="C13" s="19" t="s">
        <v>13</v>
      </c>
      <c r="D13" s="20">
        <v>5</v>
      </c>
      <c r="E13" s="20">
        <v>5</v>
      </c>
      <c r="F13" s="20" t="str">
        <f t="shared" ref="F13:F41" si="0">IF(E13=5,"OK",IF(D13=0,"Puede esperar",IF(AND(D13=5,E13=0),"Urgente","Importante")))</f>
        <v>OK</v>
      </c>
    </row>
    <row r="14" spans="2:6" x14ac:dyDescent="0.3">
      <c r="B14" s="55"/>
      <c r="C14" s="19" t="s">
        <v>14</v>
      </c>
      <c r="D14" s="20">
        <v>3</v>
      </c>
      <c r="E14" s="20">
        <v>5</v>
      </c>
      <c r="F14" s="20" t="str">
        <f t="shared" si="0"/>
        <v>OK</v>
      </c>
    </row>
    <row r="15" spans="2:6" x14ac:dyDescent="0.3">
      <c r="B15" s="55"/>
      <c r="C15" s="19" t="s">
        <v>15</v>
      </c>
      <c r="D15" s="20">
        <v>5</v>
      </c>
      <c r="E15" s="20">
        <v>3</v>
      </c>
      <c r="F15" s="20" t="str">
        <f t="shared" si="0"/>
        <v>Importante</v>
      </c>
    </row>
    <row r="16" spans="2:6" x14ac:dyDescent="0.3">
      <c r="B16" s="55"/>
      <c r="C16" s="19" t="s">
        <v>16</v>
      </c>
      <c r="D16" s="20">
        <v>3</v>
      </c>
      <c r="E16" s="20">
        <v>3</v>
      </c>
      <c r="F16" s="20" t="str">
        <f t="shared" si="0"/>
        <v>Importante</v>
      </c>
    </row>
    <row r="17" spans="2:6" x14ac:dyDescent="0.3">
      <c r="B17" s="55"/>
      <c r="C17" s="19" t="s">
        <v>17</v>
      </c>
      <c r="D17" s="20">
        <v>5</v>
      </c>
      <c r="E17" s="20">
        <v>3</v>
      </c>
      <c r="F17" s="20" t="str">
        <f t="shared" si="0"/>
        <v>Importante</v>
      </c>
    </row>
    <row r="18" spans="2:6" x14ac:dyDescent="0.3">
      <c r="B18" s="55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3">
      <c r="B19" s="55"/>
      <c r="C19" s="19" t="s">
        <v>19</v>
      </c>
      <c r="D19" s="20">
        <v>5</v>
      </c>
      <c r="E19" s="20">
        <v>3</v>
      </c>
      <c r="F19" s="20" t="str">
        <f t="shared" si="0"/>
        <v>Importante</v>
      </c>
    </row>
    <row r="20" spans="2:6" x14ac:dyDescent="0.3">
      <c r="B20" s="56" t="s">
        <v>20</v>
      </c>
      <c r="C20" s="21" t="s">
        <v>21</v>
      </c>
      <c r="D20" s="20">
        <v>5</v>
      </c>
      <c r="E20" s="20">
        <v>3</v>
      </c>
      <c r="F20" s="20" t="str">
        <f t="shared" si="0"/>
        <v>Importante</v>
      </c>
    </row>
    <row r="21" spans="2:6" x14ac:dyDescent="0.3">
      <c r="B21" s="57"/>
      <c r="C21" s="21" t="s">
        <v>22</v>
      </c>
      <c r="D21" s="20">
        <v>5</v>
      </c>
      <c r="E21" s="20">
        <v>3</v>
      </c>
      <c r="F21" s="20" t="str">
        <f t="shared" si="0"/>
        <v>Importante</v>
      </c>
    </row>
    <row r="22" spans="2:6" x14ac:dyDescent="0.3">
      <c r="B22" s="58" t="s">
        <v>23</v>
      </c>
      <c r="C22" s="21" t="s">
        <v>24</v>
      </c>
      <c r="D22" s="20">
        <v>3</v>
      </c>
      <c r="E22" s="20">
        <v>3</v>
      </c>
      <c r="F22" s="20" t="str">
        <f t="shared" si="0"/>
        <v>Importante</v>
      </c>
    </row>
    <row r="23" spans="2:6" x14ac:dyDescent="0.3">
      <c r="B23" s="56"/>
      <c r="C23" s="21" t="s">
        <v>25</v>
      </c>
      <c r="D23" s="20">
        <v>3</v>
      </c>
      <c r="E23" s="20">
        <v>3</v>
      </c>
      <c r="F23" s="20" t="str">
        <f t="shared" si="0"/>
        <v>Importante</v>
      </c>
    </row>
    <row r="24" spans="2:6" x14ac:dyDescent="0.3">
      <c r="B24" s="57"/>
      <c r="C24" s="21" t="s">
        <v>26</v>
      </c>
      <c r="D24" s="20">
        <v>5</v>
      </c>
      <c r="E24" s="20">
        <v>3</v>
      </c>
      <c r="F24" s="20" t="str">
        <f t="shared" si="0"/>
        <v>Importante</v>
      </c>
    </row>
    <row r="25" spans="2:6" x14ac:dyDescent="0.3">
      <c r="B25" s="49" t="s">
        <v>27</v>
      </c>
      <c r="C25" s="22" t="s">
        <v>28</v>
      </c>
      <c r="D25" s="20">
        <v>5</v>
      </c>
      <c r="E25" s="20">
        <v>3</v>
      </c>
      <c r="F25" s="20" t="str">
        <f t="shared" si="0"/>
        <v>Importante</v>
      </c>
    </row>
    <row r="26" spans="2:6" x14ac:dyDescent="0.3">
      <c r="B26" s="50"/>
      <c r="C26" s="22" t="s">
        <v>29</v>
      </c>
      <c r="D26" s="20">
        <v>3</v>
      </c>
      <c r="E26" s="20">
        <v>3</v>
      </c>
      <c r="F26" s="20" t="str">
        <f t="shared" si="0"/>
        <v>Importante</v>
      </c>
    </row>
    <row r="27" spans="2:6" x14ac:dyDescent="0.3">
      <c r="B27" s="50"/>
      <c r="C27" s="22" t="s">
        <v>30</v>
      </c>
      <c r="D27" s="20">
        <v>3</v>
      </c>
      <c r="E27" s="20">
        <v>3</v>
      </c>
      <c r="F27" s="20" t="str">
        <f t="shared" si="0"/>
        <v>Importante</v>
      </c>
    </row>
    <row r="28" spans="2:6" x14ac:dyDescent="0.3">
      <c r="B28" s="50"/>
      <c r="C28" s="22" t="s">
        <v>31</v>
      </c>
      <c r="D28" s="20">
        <v>3</v>
      </c>
      <c r="E28" s="20">
        <v>3</v>
      </c>
      <c r="F28" s="20" t="str">
        <f t="shared" si="0"/>
        <v>Importante</v>
      </c>
    </row>
    <row r="29" spans="2:6" ht="27.6" x14ac:dyDescent="0.3">
      <c r="B29" s="50"/>
      <c r="C29" s="22" t="s">
        <v>32</v>
      </c>
      <c r="D29" s="20">
        <v>3</v>
      </c>
      <c r="E29" s="20">
        <v>3</v>
      </c>
      <c r="F29" s="20" t="str">
        <f t="shared" si="0"/>
        <v>Importante</v>
      </c>
    </row>
    <row r="30" spans="2:6" x14ac:dyDescent="0.3">
      <c r="B30" s="50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7.6" x14ac:dyDescent="0.3">
      <c r="B31" s="50"/>
      <c r="C31" s="22" t="s">
        <v>34</v>
      </c>
      <c r="D31" s="20">
        <v>3</v>
      </c>
      <c r="E31" s="20">
        <v>3</v>
      </c>
      <c r="F31" s="20" t="str">
        <f t="shared" si="0"/>
        <v>Importante</v>
      </c>
    </row>
    <row r="32" spans="2:6" x14ac:dyDescent="0.3">
      <c r="B32" s="51"/>
      <c r="C32" s="22" t="s">
        <v>35</v>
      </c>
      <c r="D32" s="20">
        <v>5</v>
      </c>
      <c r="E32" s="20">
        <v>3</v>
      </c>
      <c r="F32" s="20" t="str">
        <f t="shared" si="0"/>
        <v>Importante</v>
      </c>
    </row>
    <row r="33" spans="2:6" x14ac:dyDescent="0.3">
      <c r="B33" s="52" t="s">
        <v>36</v>
      </c>
      <c r="C33" s="23" t="s">
        <v>37</v>
      </c>
      <c r="D33" s="20">
        <v>5</v>
      </c>
      <c r="E33" s="20">
        <v>3</v>
      </c>
      <c r="F33" s="20" t="str">
        <f t="shared" si="0"/>
        <v>Importante</v>
      </c>
    </row>
    <row r="34" spans="2:6" x14ac:dyDescent="0.3">
      <c r="B34" s="53"/>
      <c r="C34" s="23" t="s">
        <v>38</v>
      </c>
      <c r="D34" s="20">
        <v>5</v>
      </c>
      <c r="E34" s="20">
        <v>3</v>
      </c>
      <c r="F34" s="20" t="str">
        <f t="shared" si="0"/>
        <v>Importante</v>
      </c>
    </row>
    <row r="35" spans="2:6" x14ac:dyDescent="0.3">
      <c r="B35" s="53"/>
      <c r="C35" s="23" t="s">
        <v>39</v>
      </c>
      <c r="D35" s="20">
        <v>5</v>
      </c>
      <c r="E35" s="20">
        <v>3</v>
      </c>
      <c r="F35" s="20" t="str">
        <f t="shared" si="0"/>
        <v>Importante</v>
      </c>
    </row>
    <row r="36" spans="2:6" x14ac:dyDescent="0.3">
      <c r="B36" s="53"/>
      <c r="C36" s="23" t="s">
        <v>40</v>
      </c>
      <c r="D36" s="20">
        <v>5</v>
      </c>
      <c r="E36" s="20">
        <v>3</v>
      </c>
      <c r="F36" s="20" t="str">
        <f t="shared" si="0"/>
        <v>Importante</v>
      </c>
    </row>
    <row r="37" spans="2:6" x14ac:dyDescent="0.3">
      <c r="B37" s="53"/>
      <c r="C37" s="23" t="s">
        <v>41</v>
      </c>
      <c r="D37" s="20">
        <v>3</v>
      </c>
      <c r="E37" s="20">
        <v>3</v>
      </c>
      <c r="F37" s="20" t="str">
        <f t="shared" si="0"/>
        <v>Importante</v>
      </c>
    </row>
    <row r="38" spans="2:6" x14ac:dyDescent="0.3">
      <c r="B38" s="53"/>
      <c r="C38" s="23" t="s">
        <v>42</v>
      </c>
      <c r="D38" s="20">
        <v>3</v>
      </c>
      <c r="E38" s="20">
        <v>0</v>
      </c>
      <c r="F38" s="20" t="str">
        <f t="shared" si="0"/>
        <v>Importante</v>
      </c>
    </row>
    <row r="39" spans="2:6" ht="28.2" x14ac:dyDescent="0.3">
      <c r="B39" s="53"/>
      <c r="C39" s="23" t="s">
        <v>43</v>
      </c>
      <c r="D39" s="20">
        <v>5</v>
      </c>
      <c r="E39" s="20">
        <v>3</v>
      </c>
      <c r="F39" s="20" t="str">
        <f t="shared" si="0"/>
        <v>Importante</v>
      </c>
    </row>
    <row r="40" spans="2:6" x14ac:dyDescent="0.3">
      <c r="B40" s="53"/>
      <c r="C40" s="23" t="s">
        <v>44</v>
      </c>
      <c r="D40" s="20">
        <v>5</v>
      </c>
      <c r="E40" s="20">
        <v>5</v>
      </c>
      <c r="F40" s="20" t="str">
        <f t="shared" si="0"/>
        <v>OK</v>
      </c>
    </row>
    <row r="41" spans="2:6" x14ac:dyDescent="0.3">
      <c r="B41" s="53"/>
      <c r="C41" s="23" t="s">
        <v>45</v>
      </c>
      <c r="D41" s="20">
        <v>5</v>
      </c>
      <c r="E41" s="20">
        <v>3</v>
      </c>
      <c r="F41" s="20" t="str">
        <f t="shared" si="0"/>
        <v>Importante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zoomScale="112" workbookViewId="0">
      <selection activeCell="B14" sqref="B14"/>
    </sheetView>
  </sheetViews>
  <sheetFormatPr baseColWidth="10" defaultColWidth="8.88671875" defaultRowHeight="14.4" x14ac:dyDescent="0.3"/>
  <cols>
    <col min="1" max="1" width="44.88671875" bestFit="1" customWidth="1"/>
    <col min="2" max="2" width="43.7773437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38</v>
      </c>
    </row>
    <row r="8" spans="1:2" x14ac:dyDescent="0.3">
      <c r="B8" t="s">
        <v>45</v>
      </c>
    </row>
    <row r="9" spans="1:2" x14ac:dyDescent="0.3">
      <c r="B9" t="s">
        <v>13</v>
      </c>
    </row>
    <row r="10" spans="1:2" x14ac:dyDescent="0.3">
      <c r="A10" t="s">
        <v>58</v>
      </c>
      <c r="B10" t="s">
        <v>40</v>
      </c>
    </row>
    <row r="11" spans="1:2" x14ac:dyDescent="0.3">
      <c r="B11" t="s">
        <v>42</v>
      </c>
    </row>
    <row r="12" spans="1:2" x14ac:dyDescent="0.3">
      <c r="B12" t="s">
        <v>17</v>
      </c>
    </row>
    <row r="13" spans="1:2" x14ac:dyDescent="0.3">
      <c r="B13" t="s">
        <v>39</v>
      </c>
    </row>
    <row r="14" spans="1:2" x14ac:dyDescent="0.3">
      <c r="B14" t="s">
        <v>26</v>
      </c>
    </row>
    <row r="15" spans="1:2" x14ac:dyDescent="0.3">
      <c r="A15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8"/>
  <sheetViews>
    <sheetView tabSelected="1" topLeftCell="A2" zoomScale="57" zoomScaleNormal="160" workbookViewId="0">
      <selection activeCell="D15" sqref="D15"/>
    </sheetView>
  </sheetViews>
  <sheetFormatPr baseColWidth="10" defaultColWidth="8.88671875" defaultRowHeight="14.4" x14ac:dyDescent="0.3"/>
  <cols>
    <col min="1" max="1" width="3.33203125" customWidth="1"/>
    <col min="2" max="2" width="47.33203125" customWidth="1"/>
    <col min="3" max="3" width="60" customWidth="1"/>
    <col min="4" max="4" width="33" customWidth="1"/>
    <col min="5" max="5" width="52.109375" customWidth="1"/>
    <col min="6" max="6" width="37.5546875" customWidth="1"/>
    <col min="7" max="7" width="40.88671875" customWidth="1"/>
  </cols>
  <sheetData>
    <row r="2" spans="2:7" ht="43.8" x14ac:dyDescent="0.75">
      <c r="B2" s="59" t="s">
        <v>59</v>
      </c>
      <c r="C2" s="59"/>
      <c r="D2" s="59"/>
      <c r="E2" s="59"/>
      <c r="F2" s="59"/>
      <c r="G2" s="59"/>
    </row>
    <row r="4" spans="2:7" ht="15.6" x14ac:dyDescent="0.3">
      <c r="B4" s="60" t="s">
        <v>60</v>
      </c>
      <c r="C4" s="61" t="s">
        <v>61</v>
      </c>
      <c r="D4" s="61" t="s">
        <v>62</v>
      </c>
      <c r="E4" s="61" t="s">
        <v>63</v>
      </c>
      <c r="F4" s="61" t="s">
        <v>64</v>
      </c>
      <c r="G4" s="61" t="s">
        <v>65</v>
      </c>
    </row>
    <row r="5" spans="2:7" ht="15" x14ac:dyDescent="0.3">
      <c r="B5" s="62"/>
      <c r="C5" s="63" t="s">
        <v>66</v>
      </c>
      <c r="D5" s="63" t="s">
        <v>67</v>
      </c>
      <c r="E5" s="62"/>
      <c r="F5" s="64"/>
      <c r="G5" s="64"/>
    </row>
    <row r="6" spans="2:7" ht="86.4" x14ac:dyDescent="0.3">
      <c r="B6" s="37" t="s">
        <v>25</v>
      </c>
      <c r="C6" s="65" t="s">
        <v>72</v>
      </c>
      <c r="D6" s="66" t="s">
        <v>68</v>
      </c>
      <c r="E6" s="65" t="s">
        <v>73</v>
      </c>
      <c r="F6" s="67">
        <v>45963</v>
      </c>
      <c r="G6" s="66" t="s">
        <v>74</v>
      </c>
    </row>
    <row r="7" spans="2:7" ht="57.6" x14ac:dyDescent="0.3">
      <c r="B7" s="37" t="s">
        <v>13</v>
      </c>
      <c r="C7" s="66" t="s">
        <v>75</v>
      </c>
      <c r="D7" s="66" t="s">
        <v>76</v>
      </c>
      <c r="E7" s="65" t="s">
        <v>69</v>
      </c>
      <c r="F7" s="68">
        <v>45963</v>
      </c>
      <c r="G7" s="66" t="s">
        <v>77</v>
      </c>
    </row>
    <row r="8" spans="2:7" ht="72" x14ac:dyDescent="0.3">
      <c r="B8" s="37" t="s">
        <v>14</v>
      </c>
      <c r="C8" s="38" t="s">
        <v>78</v>
      </c>
      <c r="D8" s="38" t="s">
        <v>79</v>
      </c>
      <c r="E8" s="38" t="s">
        <v>71</v>
      </c>
      <c r="F8" s="39">
        <v>45963</v>
      </c>
      <c r="G8" s="38" t="s">
        <v>80</v>
      </c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3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Catalina Bernal Barbosa</cp:lastModifiedBy>
  <cp:revision/>
  <dcterms:created xsi:type="dcterms:W3CDTF">2025-08-08T19:10:45Z</dcterms:created>
  <dcterms:modified xsi:type="dcterms:W3CDTF">2025-11-10T00:48:32Z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